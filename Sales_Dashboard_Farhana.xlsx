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Region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1"/>
    </font>
    <font>
      <name val="Arial"/>
      <color rgb="00FFFFFF"/>
      <sz val="10"/>
    </font>
    <font>
      <name val="Arial"/>
      <b val="1"/>
      <color rgb="004472C4"/>
      <sz val="16"/>
    </font>
    <font>
      <name val="Arial"/>
      <b val="1"/>
      <color rgb="00ED7D31"/>
      <sz val="16"/>
    </font>
    <font>
      <name val="Arial"/>
      <b val="1"/>
      <color rgb="0070AD47"/>
      <sz val="16"/>
    </font>
    <font>
      <name val="Arial"/>
      <b val="1"/>
      <color rgb="00C00000"/>
      <sz val="16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9" fillId="8" borderId="1" pivotButton="0" quotePrefix="0" xfId="0"/>
    <xf numFmtId="165" fontId="9" fillId="8" borderId="1" applyAlignment="1" pivotButton="0" quotePrefix="0" xfId="0">
      <alignment horizontal="right"/>
    </xf>
    <xf numFmtId="0" fontId="9" fillId="8" borderId="1" applyAlignment="1" pivotButton="0" quotePrefix="0" xfId="0">
      <alignment horizontal="right"/>
    </xf>
    <xf numFmtId="0" fontId="9" fillId="9" borderId="1" pivotButton="0" quotePrefix="0" xfId="0"/>
    <xf numFmtId="165" fontId="9" fillId="9" borderId="1" applyAlignment="1" pivotButton="0" quotePrefix="0" xfId="0">
      <alignment horizontal="right"/>
    </xf>
    <xf numFmtId="0" fontId="9" fillId="9" borderId="1" applyAlignment="1" pivotButton="0" quotePrefix="0" xfId="0">
      <alignment horizontal="right"/>
    </xf>
    <xf numFmtId="0" fontId="10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/>
    </xf>
    <xf numFmtId="0" fontId="11" fillId="9" borderId="1" applyAlignment="1" pivotButton="0" quotePrefix="0" xfId="0">
      <alignment horizontal="left"/>
    </xf>
    <xf numFmtId="3" fontId="0" fillId="9" borderId="1" applyAlignment="1" pivotButton="0" quotePrefix="0" xfId="0">
      <alignment horizontal="center"/>
    </xf>
    <xf numFmtId="165" fontId="0" fillId="9" borderId="1" applyAlignment="1" pivotButton="0" quotePrefix="0" xfId="0">
      <alignment horizontal="center"/>
    </xf>
    <xf numFmtId="166" fontId="0" fillId="9" borderId="1" applyAlignment="1" pivotButton="0" quotePrefix="0" xfId="0">
      <alignment horizontal="center"/>
    </xf>
    <xf numFmtId="0" fontId="11" fillId="8" borderId="1" applyAlignment="1" pivotButton="0" quotePrefix="0" xfId="0">
      <alignment horizontal="left"/>
    </xf>
    <xf numFmtId="3" fontId="0" fillId="8" borderId="1" applyAlignment="1" pivotButton="0" quotePrefix="0" xfId="0">
      <alignment horizontal="center"/>
    </xf>
    <xf numFmtId="165" fontId="0" fillId="8" borderId="1" applyAlignment="1" pivotButton="0" quotePrefix="0" xfId="0">
      <alignment horizontal="center"/>
    </xf>
    <xf numFmtId="166" fontId="0" fillId="8" borderId="1" applyAlignment="1" pivotButton="0" quotePrefix="0" xfId="0">
      <alignment horizontal="center"/>
    </xf>
    <xf numFmtId="0" fontId="8" fillId="2" borderId="0" pivotButton="0" quotePrefix="0" xfId="0"/>
    <xf numFmtId="165" fontId="8" fillId="2" borderId="1" applyAlignment="1" pivotButton="0" quotePrefix="0" xfId="0">
      <alignment horizontal="center"/>
    </xf>
    <xf numFmtId="166" fontId="8" fillId="2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11" fillId="10" borderId="1" applyAlignment="1" pivotButton="0" quotePrefix="0" xfId="0">
      <alignment horizontal="left"/>
    </xf>
    <xf numFmtId="165" fontId="0" fillId="10" borderId="1" applyAlignment="1" pivotButton="0" quotePrefix="0" xfId="0">
      <alignment horizontal="center"/>
    </xf>
    <xf numFmtId="3" fontId="0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Summary'!C2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'Monthly Summary'!$A$3:$A$14</f>
            </numRef>
          </cat>
          <val>
            <numRef>
              <f>'Monthly Summary'!$C$3:$C$14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Summary'!D2</f>
            </strRef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Summary'!$A$3:$A$14</f>
            </numRef>
          </cat>
          <val>
            <numRef>
              <f>'Monthly Summary'!$D$3:$D$14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Analysis'!B2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Analysis'!$A$3:$A$5</f>
            </numRef>
          </cat>
          <val>
            <numRef>
              <f>'Category Analysis'!$B$3:$B$5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'Region Analysis'!B2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'Region Analysis'!$A$3:$A$6</f>
            </numRef>
          </cat>
          <val>
            <numRef>
              <f>'Region Analysis'!$B$3:$B$6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40" customHeight="1">
      <c r="A1" s="1" t="inlineStr">
        <is>
          <t>📊  SALES DASHBOARD — Farhana Akter Mim</t>
        </is>
      </c>
    </row>
    <row r="2" ht="22" customHeight="1">
      <c r="A2" s="2" t="inlineStr">
        <is>
          <t>Excel &amp; Data Analysis Project  |  2024 Annual Report</t>
        </is>
      </c>
    </row>
    <row r="3" ht="10" customHeight="1"/>
    <row r="4" ht="22" customHeight="1">
      <c r="B4" s="3" t="inlineStr">
        <is>
          <t>Total Revenue</t>
        </is>
      </c>
      <c r="D4" s="4" t="inlineStr">
        <is>
          <t>Total Orders</t>
        </is>
      </c>
      <c r="F4" s="5" t="inlineStr">
        <is>
          <t>Avg Order Value</t>
        </is>
      </c>
      <c r="H4" s="6" t="inlineStr">
        <is>
          <t>Total Profit</t>
        </is>
      </c>
    </row>
    <row r="5" ht="36" customHeight="1">
      <c r="B5" s="7">
        <f>SUM(Sales!E2:E49)</f>
        <v/>
      </c>
      <c r="D5" s="8">
        <f>COUNTA(Sales!A2:A49)</f>
        <v/>
      </c>
      <c r="F5" s="9">
        <f>AVERAGE(Sales!E2:E49)</f>
        <v/>
      </c>
      <c r="H5" s="10">
        <f>SUM(Sales!F2:F49)</f>
        <v/>
      </c>
    </row>
  </sheetData>
  <mergeCells count="10">
    <mergeCell ref="F4:G4"/>
    <mergeCell ref="A1:J1"/>
    <mergeCell ref="B5:C5"/>
    <mergeCell ref="F5:G5"/>
    <mergeCell ref="D5:E5"/>
    <mergeCell ref="H5:I5"/>
    <mergeCell ref="D4:E4"/>
    <mergeCell ref="H4:I4"/>
    <mergeCell ref="A2:J2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2" customWidth="1" min="9" max="9"/>
  </cols>
  <sheetData>
    <row r="1">
      <c r="A1" s="11" t="inlineStr">
        <is>
          <t>Order ID</t>
        </is>
      </c>
      <c r="B1" s="11" t="inlineStr">
        <is>
          <t>Month</t>
        </is>
      </c>
      <c r="C1" s="11" t="inlineStr">
        <is>
          <t>Product</t>
        </is>
      </c>
      <c r="D1" s="11" t="inlineStr">
        <is>
          <t>Category</t>
        </is>
      </c>
      <c r="E1" s="11" t="inlineStr">
        <is>
          <t>Revenue</t>
        </is>
      </c>
      <c r="F1" s="11" t="inlineStr">
        <is>
          <t>Profit</t>
        </is>
      </c>
      <c r="G1" s="11" t="inlineStr">
        <is>
          <t>Units</t>
        </is>
      </c>
      <c r="H1" s="11" t="inlineStr">
        <is>
          <t>Region</t>
        </is>
      </c>
      <c r="I1" s="11" t="inlineStr">
        <is>
          <t>Salesperson</t>
        </is>
      </c>
    </row>
    <row r="2">
      <c r="A2" s="12" t="inlineStr">
        <is>
          <t>ORD-1001</t>
        </is>
      </c>
      <c r="B2" s="12" t="inlineStr">
        <is>
          <t>Jan</t>
        </is>
      </c>
      <c r="C2" s="12" t="inlineStr">
        <is>
          <t>Phone</t>
        </is>
      </c>
      <c r="D2" s="12" t="inlineStr">
        <is>
          <t>Electronics</t>
        </is>
      </c>
      <c r="E2" s="13" t="n">
        <v>838.65</v>
      </c>
      <c r="F2" s="13" t="n">
        <v>221.63</v>
      </c>
      <c r="G2" s="14" t="n">
        <v>1</v>
      </c>
      <c r="H2" s="12" t="inlineStr">
        <is>
          <t>South</t>
        </is>
      </c>
      <c r="I2" s="12" t="inlineStr">
        <is>
          <t>Farhana</t>
        </is>
      </c>
    </row>
    <row r="3">
      <c r="A3" s="15" t="inlineStr">
        <is>
          <t>ORD-1002</t>
        </is>
      </c>
      <c r="B3" s="15" t="inlineStr">
        <is>
          <t>Feb</t>
        </is>
      </c>
      <c r="C3" s="15" t="inlineStr">
        <is>
          <t>Phone</t>
        </is>
      </c>
      <c r="D3" s="15" t="inlineStr">
        <is>
          <t>Electronics</t>
        </is>
      </c>
      <c r="E3" s="16" t="n">
        <v>6605.19</v>
      </c>
      <c r="F3" s="16" t="n">
        <v>2109.41</v>
      </c>
      <c r="G3" s="17" t="n">
        <v>9</v>
      </c>
      <c r="H3" s="15" t="inlineStr">
        <is>
          <t>North</t>
        </is>
      </c>
      <c r="I3" s="15" t="inlineStr">
        <is>
          <t>Alice</t>
        </is>
      </c>
    </row>
    <row r="4">
      <c r="A4" s="12" t="inlineStr">
        <is>
          <t>ORD-1003</t>
        </is>
      </c>
      <c r="B4" s="12" t="inlineStr">
        <is>
          <t>Mar</t>
        </is>
      </c>
      <c r="C4" s="12" t="inlineStr">
        <is>
          <t>Desk</t>
        </is>
      </c>
      <c r="D4" s="12" t="inlineStr">
        <is>
          <t>Furniture</t>
        </is>
      </c>
      <c r="E4" s="13" t="n">
        <v>1601.71</v>
      </c>
      <c r="F4" s="13" t="n">
        <v>411.82</v>
      </c>
      <c r="G4" s="14" t="n">
        <v>4</v>
      </c>
      <c r="H4" s="12" t="inlineStr">
        <is>
          <t>South</t>
        </is>
      </c>
      <c r="I4" s="12" t="inlineStr">
        <is>
          <t>Farhana</t>
        </is>
      </c>
    </row>
    <row r="5">
      <c r="A5" s="15" t="inlineStr">
        <is>
          <t>ORD-1004</t>
        </is>
      </c>
      <c r="B5" s="15" t="inlineStr">
        <is>
          <t>Apr</t>
        </is>
      </c>
      <c r="C5" s="15" t="inlineStr">
        <is>
          <t>Notebook</t>
        </is>
      </c>
      <c r="D5" s="15" t="inlineStr">
        <is>
          <t>Stationery</t>
        </is>
      </c>
      <c r="E5" s="16" t="n">
        <v>99.13</v>
      </c>
      <c r="F5" s="16" t="n">
        <v>35.94</v>
      </c>
      <c r="G5" s="17" t="n">
        <v>7</v>
      </c>
      <c r="H5" s="15" t="inlineStr">
        <is>
          <t>North</t>
        </is>
      </c>
      <c r="I5" s="15" t="inlineStr">
        <is>
          <t>Bob</t>
        </is>
      </c>
    </row>
    <row r="6">
      <c r="A6" s="12" t="inlineStr">
        <is>
          <t>ORD-1005</t>
        </is>
      </c>
      <c r="B6" s="12" t="inlineStr">
        <is>
          <t>May</t>
        </is>
      </c>
      <c r="C6" s="12" t="inlineStr">
        <is>
          <t>Keyboard</t>
        </is>
      </c>
      <c r="D6" s="12" t="inlineStr">
        <is>
          <t>Electronics</t>
        </is>
      </c>
      <c r="E6" s="13" t="n">
        <v>573.34</v>
      </c>
      <c r="F6" s="13" t="n">
        <v>164.63</v>
      </c>
      <c r="G6" s="14" t="n">
        <v>6</v>
      </c>
      <c r="H6" s="12" t="inlineStr">
        <is>
          <t>East</t>
        </is>
      </c>
      <c r="I6" s="12" t="inlineStr">
        <is>
          <t>Alice</t>
        </is>
      </c>
    </row>
    <row r="7">
      <c r="A7" s="15" t="inlineStr">
        <is>
          <t>ORD-1006</t>
        </is>
      </c>
      <c r="B7" s="15" t="inlineStr">
        <is>
          <t>Jun</t>
        </is>
      </c>
      <c r="C7" s="15" t="inlineStr">
        <is>
          <t>Phone</t>
        </is>
      </c>
      <c r="D7" s="15" t="inlineStr">
        <is>
          <t>Electronics</t>
        </is>
      </c>
      <c r="E7" s="16" t="n">
        <v>5148.32</v>
      </c>
      <c r="F7" s="16" t="n">
        <v>1855.14</v>
      </c>
      <c r="G7" s="17" t="n">
        <v>7</v>
      </c>
      <c r="H7" s="15" t="inlineStr">
        <is>
          <t>East</t>
        </is>
      </c>
      <c r="I7" s="15" t="inlineStr">
        <is>
          <t>Alice</t>
        </is>
      </c>
    </row>
    <row r="8">
      <c r="A8" s="12" t="inlineStr">
        <is>
          <t>ORD-1007</t>
        </is>
      </c>
      <c r="B8" s="12" t="inlineStr">
        <is>
          <t>Jul</t>
        </is>
      </c>
      <c r="C8" s="12" t="inlineStr">
        <is>
          <t>Mouse</t>
        </is>
      </c>
      <c r="D8" s="12" t="inlineStr">
        <is>
          <t>Electronics</t>
        </is>
      </c>
      <c r="E8" s="13" t="n">
        <v>499.48</v>
      </c>
      <c r="F8" s="13" t="n">
        <v>182.52</v>
      </c>
      <c r="G8" s="14" t="n">
        <v>9</v>
      </c>
      <c r="H8" s="12" t="inlineStr">
        <is>
          <t>North</t>
        </is>
      </c>
      <c r="I8" s="12" t="inlineStr">
        <is>
          <t>Emma</t>
        </is>
      </c>
    </row>
    <row r="9">
      <c r="A9" s="15" t="inlineStr">
        <is>
          <t>ORD-1008</t>
        </is>
      </c>
      <c r="B9" s="15" t="inlineStr">
        <is>
          <t>Aug</t>
        </is>
      </c>
      <c r="C9" s="15" t="inlineStr">
        <is>
          <t>Chair</t>
        </is>
      </c>
      <c r="D9" s="15" t="inlineStr">
        <is>
          <t>Furniture</t>
        </is>
      </c>
      <c r="E9" s="16" t="n">
        <v>2692.73</v>
      </c>
      <c r="F9" s="16" t="n">
        <v>718.87</v>
      </c>
      <c r="G9" s="17" t="n">
        <v>10</v>
      </c>
      <c r="H9" s="15" t="inlineStr">
        <is>
          <t>South</t>
        </is>
      </c>
      <c r="I9" s="15" t="inlineStr">
        <is>
          <t>Farhana</t>
        </is>
      </c>
    </row>
    <row r="10">
      <c r="A10" s="12" t="inlineStr">
        <is>
          <t>ORD-1009</t>
        </is>
      </c>
      <c r="B10" s="12" t="inlineStr">
        <is>
          <t>Sep</t>
        </is>
      </c>
      <c r="C10" s="12" t="inlineStr">
        <is>
          <t>Phone</t>
        </is>
      </c>
      <c r="D10" s="12" t="inlineStr">
        <is>
          <t>Electronics</t>
        </is>
      </c>
      <c r="E10" s="13" t="n">
        <v>825.8</v>
      </c>
      <c r="F10" s="13" t="n">
        <v>259.66</v>
      </c>
      <c r="G10" s="14" t="n">
        <v>1</v>
      </c>
      <c r="H10" s="12" t="inlineStr">
        <is>
          <t>North</t>
        </is>
      </c>
      <c r="I10" s="12" t="inlineStr">
        <is>
          <t>Bob</t>
        </is>
      </c>
    </row>
    <row r="11">
      <c r="A11" s="15" t="inlineStr">
        <is>
          <t>ORD-1010</t>
        </is>
      </c>
      <c r="B11" s="15" t="inlineStr">
        <is>
          <t>Oct</t>
        </is>
      </c>
      <c r="C11" s="15" t="inlineStr">
        <is>
          <t>Phone</t>
        </is>
      </c>
      <c r="D11" s="15" t="inlineStr">
        <is>
          <t>Electronics</t>
        </is>
      </c>
      <c r="E11" s="16" t="n">
        <v>5351.33</v>
      </c>
      <c r="F11" s="16" t="n">
        <v>1748.38</v>
      </c>
      <c r="G11" s="17" t="n">
        <v>7</v>
      </c>
      <c r="H11" s="15" t="inlineStr">
        <is>
          <t>East</t>
        </is>
      </c>
      <c r="I11" s="15" t="inlineStr">
        <is>
          <t>Bob</t>
        </is>
      </c>
    </row>
    <row r="12">
      <c r="A12" s="12" t="inlineStr">
        <is>
          <t>ORD-1011</t>
        </is>
      </c>
      <c r="B12" s="12" t="inlineStr">
        <is>
          <t>Nov</t>
        </is>
      </c>
      <c r="C12" s="12" t="inlineStr">
        <is>
          <t>Monitor</t>
        </is>
      </c>
      <c r="D12" s="12" t="inlineStr">
        <is>
          <t>Electronics</t>
        </is>
      </c>
      <c r="E12" s="13" t="n">
        <v>2543.13</v>
      </c>
      <c r="F12" s="13" t="n">
        <v>753.38</v>
      </c>
      <c r="G12" s="14" t="n">
        <v>6</v>
      </c>
      <c r="H12" s="12" t="inlineStr">
        <is>
          <t>North</t>
        </is>
      </c>
      <c r="I12" s="12" t="inlineStr">
        <is>
          <t>Emma</t>
        </is>
      </c>
    </row>
    <row r="13">
      <c r="A13" s="15" t="inlineStr">
        <is>
          <t>ORD-1012</t>
        </is>
      </c>
      <c r="B13" s="15" t="inlineStr">
        <is>
          <t>Dec</t>
        </is>
      </c>
      <c r="C13" s="15" t="inlineStr">
        <is>
          <t>Tablet</t>
        </is>
      </c>
      <c r="D13" s="15" t="inlineStr">
        <is>
          <t>Electronics</t>
        </is>
      </c>
      <c r="E13" s="16" t="n">
        <v>5647.46</v>
      </c>
      <c r="F13" s="16" t="n">
        <v>1456.41</v>
      </c>
      <c r="G13" s="17" t="n">
        <v>9</v>
      </c>
      <c r="H13" s="15" t="inlineStr">
        <is>
          <t>West</t>
        </is>
      </c>
      <c r="I13" s="15" t="inlineStr">
        <is>
          <t>Carlos</t>
        </is>
      </c>
    </row>
    <row r="14">
      <c r="A14" s="12" t="inlineStr">
        <is>
          <t>ORD-1013</t>
        </is>
      </c>
      <c r="B14" s="12" t="inlineStr">
        <is>
          <t>Jan</t>
        </is>
      </c>
      <c r="C14" s="12" t="inlineStr">
        <is>
          <t>Notebook</t>
        </is>
      </c>
      <c r="D14" s="12" t="inlineStr">
        <is>
          <t>Stationery</t>
        </is>
      </c>
      <c r="E14" s="13" t="n">
        <v>62.22</v>
      </c>
      <c r="F14" s="13" t="n">
        <v>22.06</v>
      </c>
      <c r="G14" s="14" t="n">
        <v>4</v>
      </c>
      <c r="H14" s="12" t="inlineStr">
        <is>
          <t>North</t>
        </is>
      </c>
      <c r="I14" s="12" t="inlineStr">
        <is>
          <t>Bob</t>
        </is>
      </c>
    </row>
    <row r="15">
      <c r="A15" s="15" t="inlineStr">
        <is>
          <t>ORD-1014</t>
        </is>
      </c>
      <c r="B15" s="15" t="inlineStr">
        <is>
          <t>Feb</t>
        </is>
      </c>
      <c r="C15" s="15" t="inlineStr">
        <is>
          <t>Laptop</t>
        </is>
      </c>
      <c r="D15" s="15" t="inlineStr">
        <is>
          <t>Electronics</t>
        </is>
      </c>
      <c r="E15" s="16" t="n">
        <v>7057.68</v>
      </c>
      <c r="F15" s="16" t="n">
        <v>1878.89</v>
      </c>
      <c r="G15" s="17" t="n">
        <v>6</v>
      </c>
      <c r="H15" s="15" t="inlineStr">
        <is>
          <t>East</t>
        </is>
      </c>
      <c r="I15" s="15" t="inlineStr">
        <is>
          <t>Bob</t>
        </is>
      </c>
    </row>
    <row r="16">
      <c r="A16" s="12" t="inlineStr">
        <is>
          <t>ORD-1015</t>
        </is>
      </c>
      <c r="B16" s="12" t="inlineStr">
        <is>
          <t>Mar</t>
        </is>
      </c>
      <c r="C16" s="12" t="inlineStr">
        <is>
          <t>Mouse</t>
        </is>
      </c>
      <c r="D16" s="12" t="inlineStr">
        <is>
          <t>Electronics</t>
        </is>
      </c>
      <c r="E16" s="13" t="n">
        <v>452.31</v>
      </c>
      <c r="F16" s="13" t="n">
        <v>131.4</v>
      </c>
      <c r="G16" s="14" t="n">
        <v>7</v>
      </c>
      <c r="H16" s="12" t="inlineStr">
        <is>
          <t>South</t>
        </is>
      </c>
      <c r="I16" s="12" t="inlineStr">
        <is>
          <t>Carlos</t>
        </is>
      </c>
    </row>
    <row r="17">
      <c r="A17" s="15" t="inlineStr">
        <is>
          <t>ORD-1016</t>
        </is>
      </c>
      <c r="B17" s="15" t="inlineStr">
        <is>
          <t>Apr</t>
        </is>
      </c>
      <c r="C17" s="15" t="inlineStr">
        <is>
          <t>Tablet</t>
        </is>
      </c>
      <c r="D17" s="15" t="inlineStr">
        <is>
          <t>Electronics</t>
        </is>
      </c>
      <c r="E17" s="16" t="n">
        <v>2517.59</v>
      </c>
      <c r="F17" s="16" t="n">
        <v>728.42</v>
      </c>
      <c r="G17" s="17" t="n">
        <v>4</v>
      </c>
      <c r="H17" s="15" t="inlineStr">
        <is>
          <t>West</t>
        </is>
      </c>
      <c r="I17" s="15" t="inlineStr">
        <is>
          <t>Emma</t>
        </is>
      </c>
    </row>
    <row r="18">
      <c r="A18" s="12" t="inlineStr">
        <is>
          <t>ORD-1017</t>
        </is>
      </c>
      <c r="B18" s="12" t="inlineStr">
        <is>
          <t>May</t>
        </is>
      </c>
      <c r="C18" s="12" t="inlineStr">
        <is>
          <t>Keyboard</t>
        </is>
      </c>
      <c r="D18" s="12" t="inlineStr">
        <is>
          <t>Electronics</t>
        </is>
      </c>
      <c r="E18" s="13" t="n">
        <v>566.3200000000001</v>
      </c>
      <c r="F18" s="13" t="n">
        <v>206.87</v>
      </c>
      <c r="G18" s="14" t="n">
        <v>6</v>
      </c>
      <c r="H18" s="12" t="inlineStr">
        <is>
          <t>West</t>
        </is>
      </c>
      <c r="I18" s="12" t="inlineStr">
        <is>
          <t>Alice</t>
        </is>
      </c>
    </row>
    <row r="19">
      <c r="A19" s="15" t="inlineStr">
        <is>
          <t>ORD-1018</t>
        </is>
      </c>
      <c r="B19" s="15" t="inlineStr">
        <is>
          <t>Jun</t>
        </is>
      </c>
      <c r="C19" s="15" t="inlineStr">
        <is>
          <t>Laptop</t>
        </is>
      </c>
      <c r="D19" s="15" t="inlineStr">
        <is>
          <t>Electronics</t>
        </is>
      </c>
      <c r="E19" s="16" t="n">
        <v>2233.36</v>
      </c>
      <c r="F19" s="16" t="n">
        <v>646.5599999999999</v>
      </c>
      <c r="G19" s="17" t="n">
        <v>2</v>
      </c>
      <c r="H19" s="15" t="inlineStr">
        <is>
          <t>West</t>
        </is>
      </c>
      <c r="I19" s="15" t="inlineStr">
        <is>
          <t>Emma</t>
        </is>
      </c>
    </row>
    <row r="20">
      <c r="A20" s="12" t="inlineStr">
        <is>
          <t>ORD-1019</t>
        </is>
      </c>
      <c r="B20" s="12" t="inlineStr">
        <is>
          <t>Jul</t>
        </is>
      </c>
      <c r="C20" s="12" t="inlineStr">
        <is>
          <t>Phone</t>
        </is>
      </c>
      <c r="D20" s="12" t="inlineStr">
        <is>
          <t>Electronics</t>
        </is>
      </c>
      <c r="E20" s="13" t="n">
        <v>5467.41</v>
      </c>
      <c r="F20" s="13" t="n">
        <v>1930.05</v>
      </c>
      <c r="G20" s="14" t="n">
        <v>7</v>
      </c>
      <c r="H20" s="12" t="inlineStr">
        <is>
          <t>East</t>
        </is>
      </c>
      <c r="I20" s="12" t="inlineStr">
        <is>
          <t>Emma</t>
        </is>
      </c>
    </row>
    <row r="21">
      <c r="A21" s="15" t="inlineStr">
        <is>
          <t>ORD-1020</t>
        </is>
      </c>
      <c r="B21" s="15" t="inlineStr">
        <is>
          <t>Aug</t>
        </is>
      </c>
      <c r="C21" s="15" t="inlineStr">
        <is>
          <t>Laptop</t>
        </is>
      </c>
      <c r="D21" s="15" t="inlineStr">
        <is>
          <t>Electronics</t>
        </is>
      </c>
      <c r="E21" s="16" t="n">
        <v>2487.22</v>
      </c>
      <c r="F21" s="16" t="n">
        <v>727.99</v>
      </c>
      <c r="G21" s="17" t="n">
        <v>2</v>
      </c>
      <c r="H21" s="15" t="inlineStr">
        <is>
          <t>East</t>
        </is>
      </c>
      <c r="I21" s="15" t="inlineStr">
        <is>
          <t>Farhana</t>
        </is>
      </c>
    </row>
    <row r="22">
      <c r="A22" s="12" t="inlineStr">
        <is>
          <t>ORD-1021</t>
        </is>
      </c>
      <c r="B22" s="12" t="inlineStr">
        <is>
          <t>Sep</t>
        </is>
      </c>
      <c r="C22" s="12" t="inlineStr">
        <is>
          <t>Monitor</t>
        </is>
      </c>
      <c r="D22" s="12" t="inlineStr">
        <is>
          <t>Electronics</t>
        </is>
      </c>
      <c r="E22" s="13" t="n">
        <v>862.83</v>
      </c>
      <c r="F22" s="13" t="n">
        <v>242.31</v>
      </c>
      <c r="G22" s="14" t="n">
        <v>2</v>
      </c>
      <c r="H22" s="12" t="inlineStr">
        <is>
          <t>North</t>
        </is>
      </c>
      <c r="I22" s="12" t="inlineStr">
        <is>
          <t>Farhana</t>
        </is>
      </c>
    </row>
    <row r="23">
      <c r="A23" s="15" t="inlineStr">
        <is>
          <t>ORD-1022</t>
        </is>
      </c>
      <c r="B23" s="15" t="inlineStr">
        <is>
          <t>Oct</t>
        </is>
      </c>
      <c r="C23" s="15" t="inlineStr">
        <is>
          <t>Chair</t>
        </is>
      </c>
      <c r="D23" s="15" t="inlineStr">
        <is>
          <t>Furniture</t>
        </is>
      </c>
      <c r="E23" s="16" t="n">
        <v>2367.88</v>
      </c>
      <c r="F23" s="16" t="n">
        <v>676.5599999999999</v>
      </c>
      <c r="G23" s="17" t="n">
        <v>9</v>
      </c>
      <c r="H23" s="15" t="inlineStr">
        <is>
          <t>North</t>
        </is>
      </c>
      <c r="I23" s="15" t="inlineStr">
        <is>
          <t>Farhana</t>
        </is>
      </c>
    </row>
    <row r="24">
      <c r="A24" s="12" t="inlineStr">
        <is>
          <t>ORD-1023</t>
        </is>
      </c>
      <c r="B24" s="12" t="inlineStr">
        <is>
          <t>Nov</t>
        </is>
      </c>
      <c r="C24" s="12" t="inlineStr">
        <is>
          <t>Chair</t>
        </is>
      </c>
      <c r="D24" s="12" t="inlineStr">
        <is>
          <t>Furniture</t>
        </is>
      </c>
      <c r="E24" s="13" t="n">
        <v>2299.04</v>
      </c>
      <c r="F24" s="13" t="n">
        <v>604.7</v>
      </c>
      <c r="G24" s="14" t="n">
        <v>9</v>
      </c>
      <c r="H24" s="12" t="inlineStr">
        <is>
          <t>South</t>
        </is>
      </c>
      <c r="I24" s="12" t="inlineStr">
        <is>
          <t>Emma</t>
        </is>
      </c>
    </row>
    <row r="25">
      <c r="A25" s="15" t="inlineStr">
        <is>
          <t>ORD-1024</t>
        </is>
      </c>
      <c r="B25" s="15" t="inlineStr">
        <is>
          <t>Dec</t>
        </is>
      </c>
      <c r="C25" s="15" t="inlineStr">
        <is>
          <t>Notebook</t>
        </is>
      </c>
      <c r="D25" s="15" t="inlineStr">
        <is>
          <t>Stationery</t>
        </is>
      </c>
      <c r="E25" s="16" t="n">
        <v>15.3</v>
      </c>
      <c r="F25" s="16" t="n">
        <v>4.98</v>
      </c>
      <c r="G25" s="17" t="n">
        <v>1</v>
      </c>
      <c r="H25" s="15" t="inlineStr">
        <is>
          <t>North</t>
        </is>
      </c>
      <c r="I25" s="15" t="inlineStr">
        <is>
          <t>Carlos</t>
        </is>
      </c>
    </row>
    <row r="26">
      <c r="A26" s="12" t="inlineStr">
        <is>
          <t>ORD-1025</t>
        </is>
      </c>
      <c r="B26" s="12" t="inlineStr">
        <is>
          <t>Jan</t>
        </is>
      </c>
      <c r="C26" s="12" t="inlineStr">
        <is>
          <t>Chair</t>
        </is>
      </c>
      <c r="D26" s="12" t="inlineStr">
        <is>
          <t>Furniture</t>
        </is>
      </c>
      <c r="E26" s="13" t="n">
        <v>911.59</v>
      </c>
      <c r="F26" s="13" t="n">
        <v>334.02</v>
      </c>
      <c r="G26" s="14" t="n">
        <v>4</v>
      </c>
      <c r="H26" s="12" t="inlineStr">
        <is>
          <t>North</t>
        </is>
      </c>
      <c r="I26" s="12" t="inlineStr">
        <is>
          <t>Alice</t>
        </is>
      </c>
    </row>
    <row r="27">
      <c r="A27" s="15" t="inlineStr">
        <is>
          <t>ORD-1026</t>
        </is>
      </c>
      <c r="B27" s="15" t="inlineStr">
        <is>
          <t>Feb</t>
        </is>
      </c>
      <c r="C27" s="15" t="inlineStr">
        <is>
          <t>Mouse</t>
        </is>
      </c>
      <c r="D27" s="15" t="inlineStr">
        <is>
          <t>Electronics</t>
        </is>
      </c>
      <c r="E27" s="16" t="n">
        <v>131.47</v>
      </c>
      <c r="F27" s="16" t="n">
        <v>36.35</v>
      </c>
      <c r="G27" s="17" t="n">
        <v>2</v>
      </c>
      <c r="H27" s="15" t="inlineStr">
        <is>
          <t>South</t>
        </is>
      </c>
      <c r="I27" s="15" t="inlineStr">
        <is>
          <t>Bob</t>
        </is>
      </c>
    </row>
    <row r="28">
      <c r="A28" s="12" t="inlineStr">
        <is>
          <t>ORD-1027</t>
        </is>
      </c>
      <c r="B28" s="12" t="inlineStr">
        <is>
          <t>Mar</t>
        </is>
      </c>
      <c r="C28" s="12" t="inlineStr">
        <is>
          <t>Mouse</t>
        </is>
      </c>
      <c r="D28" s="12" t="inlineStr">
        <is>
          <t>Electronics</t>
        </is>
      </c>
      <c r="E28" s="13" t="n">
        <v>503.83</v>
      </c>
      <c r="F28" s="13" t="n">
        <v>163.34</v>
      </c>
      <c r="G28" s="14" t="n">
        <v>9</v>
      </c>
      <c r="H28" s="12" t="inlineStr">
        <is>
          <t>West</t>
        </is>
      </c>
      <c r="I28" s="12" t="inlineStr">
        <is>
          <t>Bob</t>
        </is>
      </c>
    </row>
    <row r="29">
      <c r="A29" s="15" t="inlineStr">
        <is>
          <t>ORD-1028</t>
        </is>
      </c>
      <c r="B29" s="15" t="inlineStr">
        <is>
          <t>Apr</t>
        </is>
      </c>
      <c r="C29" s="15" t="inlineStr">
        <is>
          <t>Notebook</t>
        </is>
      </c>
      <c r="D29" s="15" t="inlineStr">
        <is>
          <t>Stationery</t>
        </is>
      </c>
      <c r="E29" s="16" t="n">
        <v>62.56</v>
      </c>
      <c r="F29" s="16" t="n">
        <v>19.39</v>
      </c>
      <c r="G29" s="17" t="n">
        <v>4</v>
      </c>
      <c r="H29" s="15" t="inlineStr">
        <is>
          <t>East</t>
        </is>
      </c>
      <c r="I29" s="15" t="inlineStr">
        <is>
          <t>Diana</t>
        </is>
      </c>
    </row>
    <row r="30">
      <c r="A30" s="12" t="inlineStr">
        <is>
          <t>ORD-1029</t>
        </is>
      </c>
      <c r="B30" s="12" t="inlineStr">
        <is>
          <t>May</t>
        </is>
      </c>
      <c r="C30" s="12" t="inlineStr">
        <is>
          <t>Notebook</t>
        </is>
      </c>
      <c r="D30" s="12" t="inlineStr">
        <is>
          <t>Stationery</t>
        </is>
      </c>
      <c r="E30" s="13" t="n">
        <v>110.9</v>
      </c>
      <c r="F30" s="13" t="n">
        <v>36.7</v>
      </c>
      <c r="G30" s="14" t="n">
        <v>8</v>
      </c>
      <c r="H30" s="12" t="inlineStr">
        <is>
          <t>East</t>
        </is>
      </c>
      <c r="I30" s="12" t="inlineStr">
        <is>
          <t>Alice</t>
        </is>
      </c>
    </row>
    <row r="31">
      <c r="A31" s="15" t="inlineStr">
        <is>
          <t>ORD-1030</t>
        </is>
      </c>
      <c r="B31" s="15" t="inlineStr">
        <is>
          <t>Jun</t>
        </is>
      </c>
      <c r="C31" s="15" t="inlineStr">
        <is>
          <t>Pen Set</t>
        </is>
      </c>
      <c r="D31" s="15" t="inlineStr">
        <is>
          <t>Stationery</t>
        </is>
      </c>
      <c r="E31" s="16" t="n">
        <v>212.86</v>
      </c>
      <c r="F31" s="16" t="n">
        <v>65.95999999999999</v>
      </c>
      <c r="G31" s="17" t="n">
        <v>9</v>
      </c>
      <c r="H31" s="15" t="inlineStr">
        <is>
          <t>North</t>
        </is>
      </c>
      <c r="I31" s="15" t="inlineStr">
        <is>
          <t>Farhana</t>
        </is>
      </c>
    </row>
    <row r="32">
      <c r="A32" s="12" t="inlineStr">
        <is>
          <t>ORD-1031</t>
        </is>
      </c>
      <c r="B32" s="12" t="inlineStr">
        <is>
          <t>Jul</t>
        </is>
      </c>
      <c r="C32" s="12" t="inlineStr">
        <is>
          <t>Laptop</t>
        </is>
      </c>
      <c r="D32" s="12" t="inlineStr">
        <is>
          <t>Electronics</t>
        </is>
      </c>
      <c r="E32" s="13" t="n">
        <v>4384.7</v>
      </c>
      <c r="F32" s="13" t="n">
        <v>1237.57</v>
      </c>
      <c r="G32" s="14" t="n">
        <v>4</v>
      </c>
      <c r="H32" s="12" t="inlineStr">
        <is>
          <t>East</t>
        </is>
      </c>
      <c r="I32" s="12" t="inlineStr">
        <is>
          <t>Alice</t>
        </is>
      </c>
    </row>
    <row r="33">
      <c r="A33" s="15" t="inlineStr">
        <is>
          <t>ORD-1032</t>
        </is>
      </c>
      <c r="B33" s="15" t="inlineStr">
        <is>
          <t>Aug</t>
        </is>
      </c>
      <c r="C33" s="15" t="inlineStr">
        <is>
          <t>Notebook</t>
        </is>
      </c>
      <c r="D33" s="15" t="inlineStr">
        <is>
          <t>Stationery</t>
        </is>
      </c>
      <c r="E33" s="16" t="n">
        <v>57.34</v>
      </c>
      <c r="F33" s="16" t="n">
        <v>19.91</v>
      </c>
      <c r="G33" s="17" t="n">
        <v>4</v>
      </c>
      <c r="H33" s="15" t="inlineStr">
        <is>
          <t>South</t>
        </is>
      </c>
      <c r="I33" s="15" t="inlineStr">
        <is>
          <t>Farhana</t>
        </is>
      </c>
    </row>
    <row r="34">
      <c r="A34" s="12" t="inlineStr">
        <is>
          <t>ORD-1033</t>
        </is>
      </c>
      <c r="B34" s="12" t="inlineStr">
        <is>
          <t>Sep</t>
        </is>
      </c>
      <c r="C34" s="12" t="inlineStr">
        <is>
          <t>Pen Set</t>
        </is>
      </c>
      <c r="D34" s="12" t="inlineStr">
        <is>
          <t>Stationery</t>
        </is>
      </c>
      <c r="E34" s="13" t="n">
        <v>248.63</v>
      </c>
      <c r="F34" s="13" t="n">
        <v>86.83</v>
      </c>
      <c r="G34" s="14" t="n">
        <v>10</v>
      </c>
      <c r="H34" s="12" t="inlineStr">
        <is>
          <t>West</t>
        </is>
      </c>
      <c r="I34" s="12" t="inlineStr">
        <is>
          <t>Bob</t>
        </is>
      </c>
    </row>
    <row r="35">
      <c r="A35" s="15" t="inlineStr">
        <is>
          <t>ORD-1034</t>
        </is>
      </c>
      <c r="B35" s="15" t="inlineStr">
        <is>
          <t>Oct</t>
        </is>
      </c>
      <c r="C35" s="15" t="inlineStr">
        <is>
          <t>Phone</t>
        </is>
      </c>
      <c r="D35" s="15" t="inlineStr">
        <is>
          <t>Electronics</t>
        </is>
      </c>
      <c r="E35" s="16" t="n">
        <v>1650.87</v>
      </c>
      <c r="F35" s="16" t="n">
        <v>459.02</v>
      </c>
      <c r="G35" s="17" t="n">
        <v>2</v>
      </c>
      <c r="H35" s="15" t="inlineStr">
        <is>
          <t>West</t>
        </is>
      </c>
      <c r="I35" s="15" t="inlineStr">
        <is>
          <t>Diana</t>
        </is>
      </c>
    </row>
    <row r="36">
      <c r="A36" s="12" t="inlineStr">
        <is>
          <t>ORD-1035</t>
        </is>
      </c>
      <c r="B36" s="12" t="inlineStr">
        <is>
          <t>Nov</t>
        </is>
      </c>
      <c r="C36" s="12" t="inlineStr">
        <is>
          <t>Laptop</t>
        </is>
      </c>
      <c r="D36" s="12" t="inlineStr">
        <is>
          <t>Electronics</t>
        </is>
      </c>
      <c r="E36" s="13" t="n">
        <v>2189.09</v>
      </c>
      <c r="F36" s="13" t="n">
        <v>769.29</v>
      </c>
      <c r="G36" s="14" t="n">
        <v>2</v>
      </c>
      <c r="H36" s="12" t="inlineStr">
        <is>
          <t>North</t>
        </is>
      </c>
      <c r="I36" s="12" t="inlineStr">
        <is>
          <t>Bob</t>
        </is>
      </c>
    </row>
    <row r="37">
      <c r="A37" s="15" t="inlineStr">
        <is>
          <t>ORD-1036</t>
        </is>
      </c>
      <c r="B37" s="15" t="inlineStr">
        <is>
          <t>Dec</t>
        </is>
      </c>
      <c r="C37" s="15" t="inlineStr">
        <is>
          <t>Desk</t>
        </is>
      </c>
      <c r="D37" s="15" t="inlineStr">
        <is>
          <t>Furniture</t>
        </is>
      </c>
      <c r="E37" s="16" t="n">
        <v>1611.61</v>
      </c>
      <c r="F37" s="16" t="n">
        <v>428.19</v>
      </c>
      <c r="G37" s="17" t="n">
        <v>4</v>
      </c>
      <c r="H37" s="15" t="inlineStr">
        <is>
          <t>South</t>
        </is>
      </c>
      <c r="I37" s="15" t="inlineStr">
        <is>
          <t>Carlos</t>
        </is>
      </c>
    </row>
    <row r="38">
      <c r="A38" s="12" t="inlineStr">
        <is>
          <t>ORD-1037</t>
        </is>
      </c>
      <c r="B38" s="12" t="inlineStr">
        <is>
          <t>Jan</t>
        </is>
      </c>
      <c r="C38" s="12" t="inlineStr">
        <is>
          <t>Mouse</t>
        </is>
      </c>
      <c r="D38" s="12" t="inlineStr">
        <is>
          <t>Electronics</t>
        </is>
      </c>
      <c r="E38" s="13" t="n">
        <v>257.98</v>
      </c>
      <c r="F38" s="13" t="n">
        <v>62.83</v>
      </c>
      <c r="G38" s="14" t="n">
        <v>4</v>
      </c>
      <c r="H38" s="12" t="inlineStr">
        <is>
          <t>North</t>
        </is>
      </c>
      <c r="I38" s="12" t="inlineStr">
        <is>
          <t>Alice</t>
        </is>
      </c>
    </row>
    <row r="39">
      <c r="A39" s="15" t="inlineStr">
        <is>
          <t>ORD-1038</t>
        </is>
      </c>
      <c r="B39" s="15" t="inlineStr">
        <is>
          <t>Feb</t>
        </is>
      </c>
      <c r="C39" s="15" t="inlineStr">
        <is>
          <t>Notebook</t>
        </is>
      </c>
      <c r="D39" s="15" t="inlineStr">
        <is>
          <t>Stationery</t>
        </is>
      </c>
      <c r="E39" s="16" t="n">
        <v>16.41</v>
      </c>
      <c r="F39" s="16" t="n">
        <v>5.64</v>
      </c>
      <c r="G39" s="17" t="n">
        <v>1</v>
      </c>
      <c r="H39" s="15" t="inlineStr">
        <is>
          <t>South</t>
        </is>
      </c>
      <c r="I39" s="15" t="inlineStr">
        <is>
          <t>Bob</t>
        </is>
      </c>
    </row>
    <row r="40">
      <c r="A40" s="12" t="inlineStr">
        <is>
          <t>ORD-1039</t>
        </is>
      </c>
      <c r="B40" s="12" t="inlineStr">
        <is>
          <t>Mar</t>
        </is>
      </c>
      <c r="C40" s="12" t="inlineStr">
        <is>
          <t>Keyboard</t>
        </is>
      </c>
      <c r="D40" s="12" t="inlineStr">
        <is>
          <t>Electronics</t>
        </is>
      </c>
      <c r="E40" s="13" t="n">
        <v>797.02</v>
      </c>
      <c r="F40" s="13" t="n">
        <v>266.25</v>
      </c>
      <c r="G40" s="14" t="n">
        <v>8</v>
      </c>
      <c r="H40" s="12" t="inlineStr">
        <is>
          <t>North</t>
        </is>
      </c>
      <c r="I40" s="12" t="inlineStr">
        <is>
          <t>Bob</t>
        </is>
      </c>
    </row>
    <row r="41">
      <c r="A41" s="15" t="inlineStr">
        <is>
          <t>ORD-1040</t>
        </is>
      </c>
      <c r="B41" s="15" t="inlineStr">
        <is>
          <t>Apr</t>
        </is>
      </c>
      <c r="C41" s="15" t="inlineStr">
        <is>
          <t>Keyboard</t>
        </is>
      </c>
      <c r="D41" s="15" t="inlineStr">
        <is>
          <t>Electronics</t>
        </is>
      </c>
      <c r="E41" s="16" t="n">
        <v>109.71</v>
      </c>
      <c r="F41" s="16" t="n">
        <v>27.89</v>
      </c>
      <c r="G41" s="17" t="n">
        <v>1</v>
      </c>
      <c r="H41" s="15" t="inlineStr">
        <is>
          <t>West</t>
        </is>
      </c>
      <c r="I41" s="15" t="inlineStr">
        <is>
          <t>Carlos</t>
        </is>
      </c>
    </row>
    <row r="42">
      <c r="A42" s="12" t="inlineStr">
        <is>
          <t>ORD-1041</t>
        </is>
      </c>
      <c r="B42" s="12" t="inlineStr">
        <is>
          <t>May</t>
        </is>
      </c>
      <c r="C42" s="12" t="inlineStr">
        <is>
          <t>Keyboard</t>
        </is>
      </c>
      <c r="D42" s="12" t="inlineStr">
        <is>
          <t>Electronics</t>
        </is>
      </c>
      <c r="E42" s="13" t="n">
        <v>929.14</v>
      </c>
      <c r="F42" s="13" t="n">
        <v>268.92</v>
      </c>
      <c r="G42" s="14" t="n">
        <v>9</v>
      </c>
      <c r="H42" s="12" t="inlineStr">
        <is>
          <t>South</t>
        </is>
      </c>
      <c r="I42" s="12" t="inlineStr">
        <is>
          <t>Carlos</t>
        </is>
      </c>
    </row>
    <row r="43">
      <c r="A43" s="15" t="inlineStr">
        <is>
          <t>ORD-1042</t>
        </is>
      </c>
      <c r="B43" s="15" t="inlineStr">
        <is>
          <t>Jun</t>
        </is>
      </c>
      <c r="C43" s="15" t="inlineStr">
        <is>
          <t>Desk</t>
        </is>
      </c>
      <c r="D43" s="15" t="inlineStr">
        <is>
          <t>Furniture</t>
        </is>
      </c>
      <c r="E43" s="16" t="n">
        <v>406.33</v>
      </c>
      <c r="F43" s="16" t="n">
        <v>121.52</v>
      </c>
      <c r="G43" s="17" t="n">
        <v>1</v>
      </c>
      <c r="H43" s="15" t="inlineStr">
        <is>
          <t>East</t>
        </is>
      </c>
      <c r="I43" s="15" t="inlineStr">
        <is>
          <t>Alice</t>
        </is>
      </c>
    </row>
    <row r="44">
      <c r="A44" s="12" t="inlineStr">
        <is>
          <t>ORD-1043</t>
        </is>
      </c>
      <c r="B44" s="12" t="inlineStr">
        <is>
          <t>Jul</t>
        </is>
      </c>
      <c r="C44" s="12" t="inlineStr">
        <is>
          <t>Laptop</t>
        </is>
      </c>
      <c r="D44" s="12" t="inlineStr">
        <is>
          <t>Electronics</t>
        </is>
      </c>
      <c r="E44" s="13" t="n">
        <v>11944.29</v>
      </c>
      <c r="F44" s="13" t="n">
        <v>4052.94</v>
      </c>
      <c r="G44" s="14" t="n">
        <v>10</v>
      </c>
      <c r="H44" s="12" t="inlineStr">
        <is>
          <t>South</t>
        </is>
      </c>
      <c r="I44" s="12" t="inlineStr">
        <is>
          <t>Alice</t>
        </is>
      </c>
    </row>
    <row r="45">
      <c r="A45" s="15" t="inlineStr">
        <is>
          <t>ORD-1044</t>
        </is>
      </c>
      <c r="B45" s="15" t="inlineStr">
        <is>
          <t>Aug</t>
        </is>
      </c>
      <c r="C45" s="15" t="inlineStr">
        <is>
          <t>Notebook</t>
        </is>
      </c>
      <c r="D45" s="15" t="inlineStr">
        <is>
          <t>Stationery</t>
        </is>
      </c>
      <c r="E45" s="16" t="n">
        <v>32.11</v>
      </c>
      <c r="F45" s="16" t="n">
        <v>8.710000000000001</v>
      </c>
      <c r="G45" s="17" t="n">
        <v>2</v>
      </c>
      <c r="H45" s="15" t="inlineStr">
        <is>
          <t>North</t>
        </is>
      </c>
      <c r="I45" s="15" t="inlineStr">
        <is>
          <t>Farhana</t>
        </is>
      </c>
    </row>
    <row r="46">
      <c r="A46" s="12" t="inlineStr">
        <is>
          <t>ORD-1045</t>
        </is>
      </c>
      <c r="B46" s="12" t="inlineStr">
        <is>
          <t>Sep</t>
        </is>
      </c>
      <c r="C46" s="12" t="inlineStr">
        <is>
          <t>Desk</t>
        </is>
      </c>
      <c r="D46" s="12" t="inlineStr">
        <is>
          <t>Furniture</t>
        </is>
      </c>
      <c r="E46" s="13" t="n">
        <v>2587.14</v>
      </c>
      <c r="F46" s="13" t="n">
        <v>938.35</v>
      </c>
      <c r="G46" s="14" t="n">
        <v>7</v>
      </c>
      <c r="H46" s="12" t="inlineStr">
        <is>
          <t>South</t>
        </is>
      </c>
      <c r="I46" s="12" t="inlineStr">
        <is>
          <t>Emma</t>
        </is>
      </c>
    </row>
    <row r="47">
      <c r="A47" s="15" t="inlineStr">
        <is>
          <t>ORD-1046</t>
        </is>
      </c>
      <c r="B47" s="15" t="inlineStr">
        <is>
          <t>Oct</t>
        </is>
      </c>
      <c r="C47" s="15" t="inlineStr">
        <is>
          <t>Pen Set</t>
        </is>
      </c>
      <c r="D47" s="15" t="inlineStr">
        <is>
          <t>Stationery</t>
        </is>
      </c>
      <c r="E47" s="16" t="n">
        <v>25.6</v>
      </c>
      <c r="F47" s="16" t="n">
        <v>7.81</v>
      </c>
      <c r="G47" s="17" t="n">
        <v>1</v>
      </c>
      <c r="H47" s="15" t="inlineStr">
        <is>
          <t>East</t>
        </is>
      </c>
      <c r="I47" s="15" t="inlineStr">
        <is>
          <t>Carlos</t>
        </is>
      </c>
    </row>
    <row r="48">
      <c r="A48" s="12" t="inlineStr">
        <is>
          <t>ORD-1047</t>
        </is>
      </c>
      <c r="B48" s="12" t="inlineStr">
        <is>
          <t>Nov</t>
        </is>
      </c>
      <c r="C48" s="12" t="inlineStr">
        <is>
          <t>Desk</t>
        </is>
      </c>
      <c r="D48" s="12" t="inlineStr">
        <is>
          <t>Furniture</t>
        </is>
      </c>
      <c r="E48" s="13" t="n">
        <v>2274.57</v>
      </c>
      <c r="F48" s="13" t="n">
        <v>697.49</v>
      </c>
      <c r="G48" s="14" t="n">
        <v>6</v>
      </c>
      <c r="H48" s="12" t="inlineStr">
        <is>
          <t>East</t>
        </is>
      </c>
      <c r="I48" s="12" t="inlineStr">
        <is>
          <t>Diana</t>
        </is>
      </c>
    </row>
    <row r="49">
      <c r="A49" s="15" t="inlineStr">
        <is>
          <t>ORD-1048</t>
        </is>
      </c>
      <c r="B49" s="15" t="inlineStr">
        <is>
          <t>Dec</t>
        </is>
      </c>
      <c r="C49" s="15" t="inlineStr">
        <is>
          <t>Monitor</t>
        </is>
      </c>
      <c r="D49" s="15" t="inlineStr">
        <is>
          <t>Electronics</t>
        </is>
      </c>
      <c r="E49" s="16" t="n">
        <v>811.6799999999999</v>
      </c>
      <c r="F49" s="16" t="n">
        <v>279.81</v>
      </c>
      <c r="G49" s="17" t="n">
        <v>2</v>
      </c>
      <c r="H49" s="15" t="inlineStr">
        <is>
          <t>North</t>
        </is>
      </c>
      <c r="I49" s="15" t="inlineStr">
        <is>
          <t>Alice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8" t="inlineStr">
        <is>
          <t>Monthly Sales Summary</t>
        </is>
      </c>
    </row>
    <row r="2">
      <c r="A2" s="19" t="inlineStr">
        <is>
          <t>Month</t>
        </is>
      </c>
      <c r="B2" s="19" t="inlineStr">
        <is>
          <t>Orders</t>
        </is>
      </c>
      <c r="C2" s="19" t="inlineStr">
        <is>
          <t>Revenue</t>
        </is>
      </c>
      <c r="D2" s="19" t="inlineStr">
        <is>
          <t>Profit</t>
        </is>
      </c>
      <c r="E2" s="19" t="inlineStr">
        <is>
          <t>Profit Margin</t>
        </is>
      </c>
    </row>
    <row r="3">
      <c r="A3" s="20" t="inlineStr">
        <is>
          <t>Jan</t>
        </is>
      </c>
      <c r="B3" s="21">
        <f>COUNTIF(Sales!B:B,A3)</f>
        <v/>
      </c>
      <c r="C3" s="22">
        <f>SUMIF(Sales!B:B,A3,Sales!E:E)</f>
        <v/>
      </c>
      <c r="D3" s="22">
        <f>SUMIF(Sales!B:B,A3,Sales!F:F)</f>
        <v/>
      </c>
      <c r="E3" s="23">
        <f>IF(C3=0,0,D3/C3)</f>
        <v/>
      </c>
    </row>
    <row r="4">
      <c r="A4" s="24" t="inlineStr">
        <is>
          <t>Feb</t>
        </is>
      </c>
      <c r="B4" s="25">
        <f>COUNTIF(Sales!B:B,A4)</f>
        <v/>
      </c>
      <c r="C4" s="26">
        <f>SUMIF(Sales!B:B,A4,Sales!E:E)</f>
        <v/>
      </c>
      <c r="D4" s="26">
        <f>SUMIF(Sales!B:B,A4,Sales!F:F)</f>
        <v/>
      </c>
      <c r="E4" s="27">
        <f>IF(C4=0,0,D4/C4)</f>
        <v/>
      </c>
    </row>
    <row r="5">
      <c r="A5" s="20" t="inlineStr">
        <is>
          <t>Mar</t>
        </is>
      </c>
      <c r="B5" s="21">
        <f>COUNTIF(Sales!B:B,A5)</f>
        <v/>
      </c>
      <c r="C5" s="22">
        <f>SUMIF(Sales!B:B,A5,Sales!E:E)</f>
        <v/>
      </c>
      <c r="D5" s="22">
        <f>SUMIF(Sales!B:B,A5,Sales!F:F)</f>
        <v/>
      </c>
      <c r="E5" s="23">
        <f>IF(C5=0,0,D5/C5)</f>
        <v/>
      </c>
    </row>
    <row r="6">
      <c r="A6" s="24" t="inlineStr">
        <is>
          <t>Apr</t>
        </is>
      </c>
      <c r="B6" s="25">
        <f>COUNTIF(Sales!B:B,A6)</f>
        <v/>
      </c>
      <c r="C6" s="26">
        <f>SUMIF(Sales!B:B,A6,Sales!E:E)</f>
        <v/>
      </c>
      <c r="D6" s="26">
        <f>SUMIF(Sales!B:B,A6,Sales!F:F)</f>
        <v/>
      </c>
      <c r="E6" s="27">
        <f>IF(C6=0,0,D6/C6)</f>
        <v/>
      </c>
    </row>
    <row r="7">
      <c r="A7" s="20" t="inlineStr">
        <is>
          <t>May</t>
        </is>
      </c>
      <c r="B7" s="21">
        <f>COUNTIF(Sales!B:B,A7)</f>
        <v/>
      </c>
      <c r="C7" s="22">
        <f>SUMIF(Sales!B:B,A7,Sales!E:E)</f>
        <v/>
      </c>
      <c r="D7" s="22">
        <f>SUMIF(Sales!B:B,A7,Sales!F:F)</f>
        <v/>
      </c>
      <c r="E7" s="23">
        <f>IF(C7=0,0,D7/C7)</f>
        <v/>
      </c>
    </row>
    <row r="8">
      <c r="A8" s="24" t="inlineStr">
        <is>
          <t>Jun</t>
        </is>
      </c>
      <c r="B8" s="25">
        <f>COUNTIF(Sales!B:B,A8)</f>
        <v/>
      </c>
      <c r="C8" s="26">
        <f>SUMIF(Sales!B:B,A8,Sales!E:E)</f>
        <v/>
      </c>
      <c r="D8" s="26">
        <f>SUMIF(Sales!B:B,A8,Sales!F:F)</f>
        <v/>
      </c>
      <c r="E8" s="27">
        <f>IF(C8=0,0,D8/C8)</f>
        <v/>
      </c>
    </row>
    <row r="9">
      <c r="A9" s="20" t="inlineStr">
        <is>
          <t>Jul</t>
        </is>
      </c>
      <c r="B9" s="21">
        <f>COUNTIF(Sales!B:B,A9)</f>
        <v/>
      </c>
      <c r="C9" s="22">
        <f>SUMIF(Sales!B:B,A9,Sales!E:E)</f>
        <v/>
      </c>
      <c r="D9" s="22">
        <f>SUMIF(Sales!B:B,A9,Sales!F:F)</f>
        <v/>
      </c>
      <c r="E9" s="23">
        <f>IF(C9=0,0,D9/C9)</f>
        <v/>
      </c>
    </row>
    <row r="10">
      <c r="A10" s="24" t="inlineStr">
        <is>
          <t>Aug</t>
        </is>
      </c>
      <c r="B10" s="25">
        <f>COUNTIF(Sales!B:B,A10)</f>
        <v/>
      </c>
      <c r="C10" s="26">
        <f>SUMIF(Sales!B:B,A10,Sales!E:E)</f>
        <v/>
      </c>
      <c r="D10" s="26">
        <f>SUMIF(Sales!B:B,A10,Sales!F:F)</f>
        <v/>
      </c>
      <c r="E10" s="27">
        <f>IF(C10=0,0,D10/C10)</f>
        <v/>
      </c>
    </row>
    <row r="11">
      <c r="A11" s="20" t="inlineStr">
        <is>
          <t>Sep</t>
        </is>
      </c>
      <c r="B11" s="21">
        <f>COUNTIF(Sales!B:B,A11)</f>
        <v/>
      </c>
      <c r="C11" s="22">
        <f>SUMIF(Sales!B:B,A11,Sales!E:E)</f>
        <v/>
      </c>
      <c r="D11" s="22">
        <f>SUMIF(Sales!B:B,A11,Sales!F:F)</f>
        <v/>
      </c>
      <c r="E11" s="23">
        <f>IF(C11=0,0,D11/C11)</f>
        <v/>
      </c>
    </row>
    <row r="12">
      <c r="A12" s="24" t="inlineStr">
        <is>
          <t>Oct</t>
        </is>
      </c>
      <c r="B12" s="25">
        <f>COUNTIF(Sales!B:B,A12)</f>
        <v/>
      </c>
      <c r="C12" s="26">
        <f>SUMIF(Sales!B:B,A12,Sales!E:E)</f>
        <v/>
      </c>
      <c r="D12" s="26">
        <f>SUMIF(Sales!B:B,A12,Sales!F:F)</f>
        <v/>
      </c>
      <c r="E12" s="27">
        <f>IF(C12=0,0,D12/C12)</f>
        <v/>
      </c>
    </row>
    <row r="13">
      <c r="A13" s="20" t="inlineStr">
        <is>
          <t>Nov</t>
        </is>
      </c>
      <c r="B13" s="21">
        <f>COUNTIF(Sales!B:B,A13)</f>
        <v/>
      </c>
      <c r="C13" s="22">
        <f>SUMIF(Sales!B:B,A13,Sales!E:E)</f>
        <v/>
      </c>
      <c r="D13" s="22">
        <f>SUMIF(Sales!B:B,A13,Sales!F:F)</f>
        <v/>
      </c>
      <c r="E13" s="23">
        <f>IF(C13=0,0,D13/C13)</f>
        <v/>
      </c>
    </row>
    <row r="14">
      <c r="A14" s="24" t="inlineStr">
        <is>
          <t>Dec</t>
        </is>
      </c>
      <c r="B14" s="25">
        <f>COUNTIF(Sales!B:B,A14)</f>
        <v/>
      </c>
      <c r="C14" s="26">
        <f>SUMIF(Sales!B:B,A14,Sales!E:E)</f>
        <v/>
      </c>
      <c r="D14" s="26">
        <f>SUMIF(Sales!B:B,A14,Sales!F:F)</f>
        <v/>
      </c>
      <c r="E14" s="27">
        <f>IF(C14=0,0,D14/C14)</f>
        <v/>
      </c>
    </row>
    <row r="15">
      <c r="A15" s="28" t="inlineStr">
        <is>
          <t>TOTAL</t>
        </is>
      </c>
      <c r="B15" s="11">
        <f>SUM(B3:B14)</f>
        <v/>
      </c>
      <c r="C15" s="29">
        <f>SUM(C3:C14)</f>
        <v/>
      </c>
      <c r="D15" s="29">
        <f>SUM(D3:D14)</f>
        <v/>
      </c>
      <c r="E15" s="30">
        <f>IF(C15=0,0,D15/C15)</f>
        <v/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30" customHeight="1">
      <c r="A1" s="18" t="inlineStr">
        <is>
          <t>Sales by Category</t>
        </is>
      </c>
    </row>
    <row r="2">
      <c r="A2" s="31" t="inlineStr">
        <is>
          <t>Category</t>
        </is>
      </c>
      <c r="B2" s="31" t="inlineStr">
        <is>
          <t>Revenue</t>
        </is>
      </c>
      <c r="C2" s="31" t="inlineStr">
        <is>
          <t>Profit</t>
        </is>
      </c>
      <c r="D2" s="31" t="inlineStr">
        <is>
          <t>% of Total Revenue</t>
        </is>
      </c>
    </row>
    <row r="3">
      <c r="A3" s="32" t="inlineStr">
        <is>
          <t>Electronics</t>
        </is>
      </c>
      <c r="B3" s="33">
        <f>SUMIF(Sales!D:D,A3,Sales!E:E)</f>
        <v/>
      </c>
      <c r="C3" s="33">
        <f>SUMIF(Sales!D:D,A3,Sales!F:F)</f>
        <v/>
      </c>
      <c r="D3" s="34">
        <f>IF(SUM(B3:B5)=0,0,B3/SUM(B3:B5))</f>
        <v/>
      </c>
    </row>
    <row r="4">
      <c r="A4" s="32" t="inlineStr">
        <is>
          <t>Furniture</t>
        </is>
      </c>
      <c r="B4" s="33">
        <f>SUMIF(Sales!D:D,A4,Sales!E:E)</f>
        <v/>
      </c>
      <c r="C4" s="33">
        <f>SUMIF(Sales!D:D,A4,Sales!F:F)</f>
        <v/>
      </c>
      <c r="D4" s="34">
        <f>IF(SUM(B3:B5)=0,0,B4/SUM(B3:B5))</f>
        <v/>
      </c>
    </row>
    <row r="5">
      <c r="A5" s="32" t="inlineStr">
        <is>
          <t>Stationery</t>
        </is>
      </c>
      <c r="B5" s="33">
        <f>SUMIF(Sales!D:D,A5,Sales!E:E)</f>
        <v/>
      </c>
      <c r="C5" s="33">
        <f>SUMIF(Sales!D:D,A5,Sales!F:F)</f>
        <v/>
      </c>
      <c r="D5" s="34">
        <f>IF(SUM(B3:B5)=0,0,B5/SUM(B3:B5))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18" t="inlineStr">
        <is>
          <t>Sales by Region</t>
        </is>
      </c>
    </row>
    <row r="2">
      <c r="A2" s="35" t="inlineStr">
        <is>
          <t>Region</t>
        </is>
      </c>
      <c r="B2" s="35" t="inlineStr">
        <is>
          <t>Revenue</t>
        </is>
      </c>
      <c r="C2" s="35" t="inlineStr">
        <is>
          <t>Orders</t>
        </is>
      </c>
      <c r="D2" s="35" t="inlineStr">
        <is>
          <t>Avg Order Value</t>
        </is>
      </c>
    </row>
    <row r="3">
      <c r="A3" s="20" t="inlineStr">
        <is>
          <t>North</t>
        </is>
      </c>
      <c r="B3" s="22">
        <f>SUMIF(Sales!H:H,A3,Sales!E:E)</f>
        <v/>
      </c>
      <c r="C3" s="21">
        <f>COUNTIF(Sales!H:H,A3)</f>
        <v/>
      </c>
      <c r="D3" s="22">
        <f>IF(C3=0,0,B3/C3)</f>
        <v/>
      </c>
    </row>
    <row r="4">
      <c r="A4" s="36" t="inlineStr">
        <is>
          <t>South</t>
        </is>
      </c>
      <c r="B4" s="37">
        <f>SUMIF(Sales!H:H,A4,Sales!E:E)</f>
        <v/>
      </c>
      <c r="C4" s="38">
        <f>COUNTIF(Sales!H:H,A4)</f>
        <v/>
      </c>
      <c r="D4" s="37">
        <f>IF(C4=0,0,B4/C4)</f>
        <v/>
      </c>
    </row>
    <row r="5">
      <c r="A5" s="20" t="inlineStr">
        <is>
          <t>East</t>
        </is>
      </c>
      <c r="B5" s="22">
        <f>SUMIF(Sales!H:H,A5,Sales!E:E)</f>
        <v/>
      </c>
      <c r="C5" s="21">
        <f>COUNTIF(Sales!H:H,A5)</f>
        <v/>
      </c>
      <c r="D5" s="22">
        <f>IF(C5=0,0,B5/C5)</f>
        <v/>
      </c>
    </row>
    <row r="6">
      <c r="A6" s="36" t="inlineStr">
        <is>
          <t>West</t>
        </is>
      </c>
      <c r="B6" s="37">
        <f>SUMIF(Sales!H:H,A6,Sales!E:E)</f>
        <v/>
      </c>
      <c r="C6" s="38">
        <f>COUNTIF(Sales!H:H,A6)</f>
        <v/>
      </c>
      <c r="D6" s="37">
        <f>IF(C6=0,0,B6/C6)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2026-05-03T03:23:53Z</dcterms:created>
  <dcterms:modified xmlns:dcterms="http://purl.org/dc/terms/" xmlns:xsi="http://www.w3.org/2001/XMLSchema-instance" xsi:type="dcterms:W3CDTF">2026-05-03T03:23:54Z</dcterms:modified>
</cp:coreProperties>
</file>